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oto\source\repos\DevOps-Bona\TransaccionInventario\TIV\wwwroot\files\templates\"/>
    </mc:Choice>
  </mc:AlternateContent>
  <xr:revisionPtr revIDLastSave="0" documentId="13_ncr:1_{48EB3E91-7275-42DA-B3E4-82E241D2CDA9}" xr6:coauthVersionLast="47" xr6:coauthVersionMax="47" xr10:uidLastSave="{00000000-0000-0000-0000-000000000000}"/>
  <bookViews>
    <workbookView xWindow="-110" yWindow="-110" windowWidth="19420" windowHeight="10300" tabRatio="736" activeTab="1" xr2:uid="{84BF438D-F55B-4C0E-A341-4D3E0B57737C}"/>
  </bookViews>
  <sheets>
    <sheet name="COD_ALMACEN" sheetId="18" r:id="rId1"/>
    <sheet name="MOTIVOS" sheetId="19" r:id="rId2"/>
  </sheets>
  <externalReferences>
    <externalReference r:id="rId3"/>
  </externalReferences>
  <definedNames>
    <definedName name="AJUSTE">[1]OPCIONES!$E$2:$E$4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8" l="1" a="1"/>
  <c r="M3" i="18"/>
  <c r="N3" i="18" a="1"/>
  <c r="N3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<sst xmlns="http://schemas.openxmlformats.org/spreadsheetml/2006/main" count="199" uniqueCount="95">
  <si>
    <t xml:space="preserve">PEDIDO PIZZARELLI </t>
  </si>
  <si>
    <t>FECHA PEDIDO</t>
  </si>
  <si>
    <t>TIENDA</t>
  </si>
  <si>
    <t>HOJA DE PEDIDO</t>
  </si>
  <si>
    <t>ITEMS</t>
  </si>
  <si>
    <t>CATEGORIA</t>
  </si>
  <si>
    <t>UdM</t>
  </si>
  <si>
    <t>DESCRIPCION</t>
  </si>
  <si>
    <t>UBICACION</t>
  </si>
  <si>
    <t>PROYECCION</t>
  </si>
  <si>
    <t>CONTEO</t>
  </si>
  <si>
    <t>FECHA VENCIMIENTO</t>
  </si>
  <si>
    <t>AJUSTE TIENDA</t>
  </si>
  <si>
    <t>.PEDIDO</t>
  </si>
  <si>
    <t>TIPO</t>
  </si>
  <si>
    <t>MOTIVO</t>
  </si>
  <si>
    <t>DEPARTAMENTO</t>
  </si>
  <si>
    <t>VR</t>
  </si>
  <si>
    <t>VARIACION</t>
  </si>
  <si>
    <t>TIENDAS</t>
  </si>
  <si>
    <t>TIPO TRANSACCION</t>
  </si>
  <si>
    <t>MOTIVO TRANSACCION</t>
  </si>
  <si>
    <t>SEG1SEG2</t>
  </si>
  <si>
    <t>AJ</t>
  </si>
  <si>
    <t>DECOMISO</t>
  </si>
  <si>
    <t>PRODUCCION</t>
  </si>
  <si>
    <t>52803-02</t>
  </si>
  <si>
    <t>LOGISTICA</t>
  </si>
  <si>
    <t>65803-04</t>
  </si>
  <si>
    <t>CALIDAD</t>
  </si>
  <si>
    <t>66191-09</t>
  </si>
  <si>
    <t>ENTRENAMIENTO</t>
  </si>
  <si>
    <t>66190-11</t>
  </si>
  <si>
    <t>MAT. LIMPIEZA Y DESECH</t>
  </si>
  <si>
    <t>52601-02</t>
  </si>
  <si>
    <t>65904-04</t>
  </si>
  <si>
    <t>62901-03</t>
  </si>
  <si>
    <t>OPERACIONES</t>
  </si>
  <si>
    <t>62901-10</t>
  </si>
  <si>
    <t>66190-09</t>
  </si>
  <si>
    <t>DIR. GENERAL</t>
  </si>
  <si>
    <t>66190-01</t>
  </si>
  <si>
    <t>GYA</t>
  </si>
  <si>
    <t>66190-00</t>
  </si>
  <si>
    <t>MAT. OFICINA</t>
  </si>
  <si>
    <t>52902-02</t>
  </si>
  <si>
    <t>65902-04</t>
  </si>
  <si>
    <t>62902-03</t>
  </si>
  <si>
    <t>GESTION HUMANA</t>
  </si>
  <si>
    <t>66902-07</t>
  </si>
  <si>
    <t>66902-09</t>
  </si>
  <si>
    <t>MANTENIMIENTO</t>
  </si>
  <si>
    <t>66902-12</t>
  </si>
  <si>
    <t>CALL CENTER</t>
  </si>
  <si>
    <t>63902-03</t>
  </si>
  <si>
    <t>66902-01</t>
  </si>
  <si>
    <t>62902-10</t>
  </si>
  <si>
    <t>TECNOLOGIA</t>
  </si>
  <si>
    <t>66902-08</t>
  </si>
  <si>
    <t>FINANZAS</t>
  </si>
  <si>
    <t>66902-06</t>
  </si>
  <si>
    <t>66902-11</t>
  </si>
  <si>
    <t>66902-00</t>
  </si>
  <si>
    <t>MERCADEO</t>
  </si>
  <si>
    <t>64902-05</t>
  </si>
  <si>
    <t>COMBUSTIBLE</t>
  </si>
  <si>
    <t>52403-02</t>
  </si>
  <si>
    <t>66502-00</t>
  </si>
  <si>
    <t>MOTORES</t>
  </si>
  <si>
    <t>62455-03</t>
  </si>
  <si>
    <t>62455-10</t>
  </si>
  <si>
    <t>UNIFORMES</t>
  </si>
  <si>
    <t>62104-03</t>
  </si>
  <si>
    <t>62104-10</t>
  </si>
  <si>
    <t>65104-04</t>
  </si>
  <si>
    <t>66104-09</t>
  </si>
  <si>
    <t>52104-02</t>
  </si>
  <si>
    <t>66104-12</t>
  </si>
  <si>
    <t>HERR. Y UTILES</t>
  </si>
  <si>
    <t>62459-03</t>
  </si>
  <si>
    <t>66409-09</t>
  </si>
  <si>
    <t>62459-10</t>
  </si>
  <si>
    <t>PROMOCIONES</t>
  </si>
  <si>
    <t>64214-03</t>
  </si>
  <si>
    <t>51100-00</t>
  </si>
  <si>
    <t>DEPARTAMENTOS</t>
  </si>
  <si>
    <t>MOTIVOS</t>
  </si>
  <si>
    <t>FILTROS</t>
  </si>
  <si>
    <t>65801-04</t>
  </si>
  <si>
    <t>VARIACION BONA</t>
  </si>
  <si>
    <t>INVENTARIO</t>
  </si>
  <si>
    <t>N/A</t>
  </si>
  <si>
    <t>VARIACION PRODUCCION</t>
  </si>
  <si>
    <t>54100-02</t>
  </si>
  <si>
    <t>52308-02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</si>
</sst>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\-mmm\-yy;@"/>
    <numFmt numFmtId="165" formatCode="_(* #,##0_);_(* \(#,##0\);_(* &quot;-&quot;??_);_(@_)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indexed="8"/>
      <name val="Verdana"/>
      <family val="2"/>
    </font>
    <font>
      <b/>
      <sz val="11"/>
      <color indexed="8"/>
      <name val="Verdana"/>
      <family val="2"/>
    </font>
    <font>
      <b/>
      <sz val="10"/>
      <color indexed="8"/>
      <name val="Verdana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4" tint="0.79998168889431442"/>
      </patternFill>
    </fill>
    <fill>
      <patternFill patternType="solid">
        <fgColor theme="5" tint="-0.249977111117893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5" fillId="0" borderId="2" xfId="2" applyFont="1" applyBorder="1" applyAlignment="1">
      <alignment vertical="center"/>
    </xf>
    <xf numFmtId="0" fontId="5" fillId="0" borderId="3" xfId="2" applyFont="1" applyBorder="1" applyAlignment="1">
      <alignment vertical="center"/>
    </xf>
    <xf numFmtId="164" fontId="5" fillId="0" borderId="1" xfId="3" applyNumberFormat="1" applyFont="1" applyBorder="1" applyAlignment="1" applyProtection="1">
      <alignment horizontal="center"/>
      <protection locked="0"/>
    </xf>
    <xf numFmtId="0" fontId="5" fillId="0" borderId="4" xfId="2" applyFont="1" applyBorder="1" applyAlignment="1">
      <alignment vertical="center"/>
    </xf>
    <xf numFmtId="0" fontId="5" fillId="0" borderId="0" xfId="2" applyFont="1" applyAlignment="1">
      <alignment vertical="center"/>
    </xf>
    <xf numFmtId="165" fontId="6" fillId="0" borderId="1" xfId="3" applyNumberFormat="1" applyFont="1" applyBorder="1" applyAlignment="1" applyProtection="1">
      <alignment horizontal="center"/>
      <protection locked="0"/>
    </xf>
    <xf numFmtId="165" fontId="5" fillId="0" borderId="1" xfId="3" applyNumberFormat="1" applyFont="1" applyBorder="1" applyAlignment="1" applyProtection="1">
      <alignment horizontal="center"/>
      <protection locked="0"/>
    </xf>
    <xf numFmtId="0" fontId="5" fillId="0" borderId="5" xfId="2" applyFont="1" applyBorder="1" applyAlignment="1">
      <alignment vertical="center"/>
    </xf>
    <xf numFmtId="0" fontId="5" fillId="0" borderId="6" xfId="2" applyFont="1" applyBorder="1" applyAlignment="1">
      <alignment vertical="center"/>
    </xf>
    <xf numFmtId="0" fontId="5" fillId="0" borderId="0" xfId="3" applyFont="1" applyAlignment="1" applyProtection="1">
      <alignment horizontal="left"/>
      <protection locked="0"/>
    </xf>
    <xf numFmtId="0" fontId="5" fillId="0" borderId="0" xfId="3" applyFont="1" applyAlignment="1" applyProtection="1">
      <alignment horizontal="center"/>
      <protection locked="0"/>
    </xf>
    <xf numFmtId="0" fontId="5" fillId="0" borderId="0" xfId="2" applyFont="1" applyAlignment="1" applyProtection="1">
      <alignment horizontal="center"/>
      <protection locked="0"/>
    </xf>
    <xf numFmtId="0" fontId="5" fillId="0" borderId="0" xfId="2" applyFont="1" applyProtection="1">
      <protection locked="0"/>
    </xf>
    <xf numFmtId="0" fontId="6" fillId="0" borderId="0" xfId="3" applyFont="1" applyAlignment="1" applyProtection="1">
      <alignment horizontal="right"/>
      <protection locked="0"/>
    </xf>
    <xf numFmtId="165" fontId="5" fillId="0" borderId="0" xfId="1" applyNumberFormat="1" applyFont="1" applyFill="1" applyBorder="1" applyProtection="1">
      <protection locked="0"/>
    </xf>
    <xf numFmtId="0" fontId="5" fillId="0" borderId="0" xfId="3" applyFont="1" applyProtection="1">
      <protection locked="0"/>
    </xf>
    <xf numFmtId="44" fontId="5" fillId="0" borderId="0" xfId="4" applyFont="1" applyFill="1" applyBorder="1" applyAlignment="1" applyProtection="1">
      <protection locked="0"/>
    </xf>
    <xf numFmtId="165" fontId="5" fillId="0" borderId="0" xfId="2" applyNumberFormat="1" applyFont="1" applyProtection="1">
      <protection locked="0"/>
    </xf>
    <xf numFmtId="0" fontId="7" fillId="2" borderId="7" xfId="2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7" fillId="3" borderId="9" xfId="2" applyFont="1" applyFill="1" applyBorder="1" applyAlignment="1">
      <alignment horizontal="center" vertical="center" wrapText="1"/>
    </xf>
    <xf numFmtId="165" fontId="7" fillId="3" borderId="10" xfId="2" applyNumberFormat="1" applyFont="1" applyFill="1" applyBorder="1" applyAlignment="1">
      <alignment horizontal="center" vertical="center" wrapText="1"/>
    </xf>
    <xf numFmtId="0" fontId="2" fillId="0" borderId="0" xfId="5" applyFont="1"/>
    <xf numFmtId="0" fontId="1" fillId="0" borderId="0" xfId="5"/>
    <xf numFmtId="166" fontId="5" fillId="0" borderId="1" xfId="1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0" fillId="0" borderId="0" xfId="0" applyAlignment="1">
      <alignment horizontal="center"/>
    </xf>
    <xf numFmtId="0" fontId="7" fillId="2" borderId="10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5" applyFill="1"/>
  </cellXfs>
  <cellStyles count="6">
    <cellStyle name="Currency 2 2" xfId="4" xr:uid="{319D30AD-C429-4366-8AA4-7EE52A7BC76C}"/>
    <cellStyle name="Normal" xfId="0" builtinId="0"/>
    <cellStyle name="Normal 2 3" xfId="2" xr:uid="{16503016-A605-4468-80EC-5D6E049F0ED7}"/>
    <cellStyle name="Normal 3" xfId="5" xr:uid="{CFC162E0-C824-4F77-A6D7-35CACB177E77}"/>
    <cellStyle name="Normal_Consolidado 2" xfId="3" xr:uid="{B95046FC-006B-4D22-BF21-20D61C2C0793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D8D6F"/>
      <color rgb="FFFF967D"/>
      <color rgb="FFF9C9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.lopez/Documents/HPP%20-%20Pizzarelli%202.1%20-%20Userend%20ACT%2023-EN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_Articulos"/>
      <sheetName val="BD_MaestroGP"/>
      <sheetName val="BD_UdMGP"/>
      <sheetName val="SELECTION"/>
      <sheetName val="CONTEO"/>
      <sheetName val="PIZZARELLI"/>
      <sheetName val="BD_Ventas_Hist"/>
      <sheetName val="OPCIONES"/>
      <sheetName val="Hoja1"/>
      <sheetName val="Sheet2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E2" t="str">
            <v>Aplicar</v>
          </cell>
        </row>
        <row r="3">
          <cell r="E3" t="str">
            <v>No Aplicar</v>
          </cell>
        </row>
      </sheetData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3AD33-3403-4967-91AE-4B69A449E288}" name="Table2" displayName="Table2" ref="A1:D44" totalsRowShown="0" headerRowDxfId="2" headerRowCellStyle="Normal 3" dataCellStyle="Normal 3">
  <autoFilter ref="A1:D44" xr:uid="{B5F3AD33-3403-4967-91AE-4B69A449E288}"/>
  <tableColumns count="4">
    <tableColumn id="1" xr3:uid="{18961051-25C7-468F-A445-B2A022F34B1F}" name="TIPO TRANSACCION" dataCellStyle="Normal 3"/>
    <tableColumn id="2" xr3:uid="{B20423BC-06EE-4EC7-A8A4-22B61CF16871}" name="DEPARTAMENTO" dataCellStyle="Normal 3"/>
    <tableColumn id="3" xr3:uid="{F9798EAA-5D31-4168-882E-09694250C8DE}" name="MOTIVO TRANSACCION" dataCellStyle="Normal 3"/>
    <tableColumn id="4" xr3:uid="{C8AEC81F-B56E-4B4A-A47C-E70A02BEEDDA}" name="SEG1SEG2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437C-1777-405C-89C2-BFB2C69A6148}">
  <sheetPr>
    <tabColor rgb="FF00B050"/>
  </sheetPr>
  <dimension ref="A1:O155"/>
  <sheetViews>
    <sheetView zoomScale="70" zoomScaleNormal="70" workbookViewId="0">
      <selection activeCell="C15" sqref="C15"/>
    </sheetView>
  </sheetViews>
  <sheetFormatPr defaultColWidth="9.1796875" defaultRowHeight="14.5" outlineLevelCol="1" x14ac:dyDescent="0.35"/>
  <cols>
    <col min="2" max="2" width="12.453125" customWidth="1"/>
    <col min="3" max="3" width="80.36328125" customWidth="1"/>
    <col min="4" max="4" width="12.453125" customWidth="1"/>
    <col min="5" max="5" width="11.26953125" bestFit="1" customWidth="1"/>
    <col min="6" max="6" width="23.90625" customWidth="1"/>
    <col min="7" max="7" width="13.81640625" customWidth="1" outlineLevel="1"/>
    <col min="8" max="8" width="9.1796875" customWidth="1" outlineLevel="1"/>
    <col min="9" max="9" width="14.81640625" customWidth="1" outlineLevel="1"/>
    <col min="10" max="10" width="11.1796875" customWidth="1" outlineLevel="1"/>
    <col min="11" max="11" width="32.81640625" bestFit="1" customWidth="1"/>
    <col min="13" max="13" width="16.6328125" hidden="1" customWidth="1" outlineLevel="1"/>
    <col min="14" max="14" width="22.1796875" hidden="1" customWidth="1" outlineLevel="1"/>
    <col min="15" max="15" width="9.1796875" collapsed="1"/>
  </cols>
  <sheetData>
    <row r="1" spans="1:14" x14ac:dyDescent="0.35">
      <c r="B1" s="30" t="s">
        <v>0</v>
      </c>
      <c r="C1" s="30"/>
      <c r="D1" s="30"/>
      <c r="E1" s="30"/>
      <c r="F1" s="30"/>
      <c r="G1" s="30"/>
      <c r="H1" s="30"/>
      <c r="I1" s="1" t="s">
        <v>1</v>
      </c>
      <c r="J1" s="2"/>
      <c r="K1" s="3">
        <v>44679</v>
      </c>
      <c r="M1" s="31" t="s">
        <v>87</v>
      </c>
      <c r="N1" s="31"/>
    </row>
    <row r="2" spans="1:14" x14ac:dyDescent="0.35">
      <c r="B2" s="30"/>
      <c r="C2" s="30"/>
      <c r="D2" s="30"/>
      <c r="E2" s="30"/>
      <c r="F2" s="30"/>
      <c r="G2" s="30"/>
      <c r="H2" s="30"/>
      <c r="I2" s="4" t="s">
        <v>16</v>
      </c>
      <c r="J2" s="5"/>
      <c r="K2" s="6" t="s">
        <v>29</v>
      </c>
      <c r="M2" s="24" t="s">
        <v>85</v>
      </c>
      <c r="N2" s="27" t="s">
        <v>86</v>
      </c>
    </row>
    <row r="3" spans="1:14" x14ac:dyDescent="0.35">
      <c r="B3" s="30"/>
      <c r="C3" s="30"/>
      <c r="D3" s="30"/>
      <c r="E3" s="30"/>
      <c r="F3" s="30"/>
      <c r="G3" s="30"/>
      <c r="H3" s="30"/>
      <c r="I3" s="4" t="s">
        <v>15</v>
      </c>
      <c r="J3" s="5"/>
      <c r="K3" s="7" t="s">
        <v>24</v>
      </c>
      <c r="M3" s="25" t="str" cm="1">
        <f t="array" ref="M3:M17">_xlfn._xlws.SORT(_xlfn.UNIQUE(Table2[DEPARTAMENTO]))</f>
        <v>CALIDAD</v>
      </c>
      <c r="N3" t="str" cm="1">
        <f t="array" ref="N3:N7">_xlfn._xlws.SORT(_xlfn.UNIQUE(_xlfn._xlws.FILTER(Table2[MOTIVO TRANSACCION],Table2[DEPARTAMENTO]=COD_ALMACEN!K2)))</f>
        <v>DECOMISO</v>
      </c>
    </row>
    <row r="4" spans="1:14" x14ac:dyDescent="0.35">
      <c r="B4" s="30"/>
      <c r="C4" s="30"/>
      <c r="D4" s="30"/>
      <c r="E4" s="30"/>
      <c r="F4" s="30"/>
      <c r="G4" s="30"/>
      <c r="H4" s="30"/>
      <c r="I4" s="8" t="s">
        <v>2</v>
      </c>
      <c r="J4" s="9"/>
      <c r="K4" s="26" t="s">
        <v>91</v>
      </c>
      <c r="M4" s="25" t="str">
        <v>CALL CENTER</v>
      </c>
      <c r="N4" t="str">
        <v>HERR. Y UTILES</v>
      </c>
    </row>
    <row r="5" spans="1:14" x14ac:dyDescent="0.35">
      <c r="B5" s="10"/>
      <c r="C5" s="10"/>
      <c r="D5" s="10"/>
      <c r="E5" s="11"/>
      <c r="F5" s="12"/>
      <c r="G5" s="13"/>
      <c r="H5" s="14"/>
      <c r="I5" s="13"/>
      <c r="J5" s="13"/>
      <c r="K5" s="15"/>
      <c r="M5" s="25" t="str">
        <v>DIR. GENERAL</v>
      </c>
      <c r="N5" t="str">
        <v>MAT. LIMPIEZA Y DESECH</v>
      </c>
    </row>
    <row r="6" spans="1:14" ht="15" thickBot="1" x14ac:dyDescent="0.4">
      <c r="B6" s="16" t="s">
        <v>3</v>
      </c>
      <c r="C6" s="16"/>
      <c r="D6" s="16"/>
      <c r="E6" s="11"/>
      <c r="F6" s="17"/>
      <c r="G6" s="11"/>
      <c r="H6" s="13"/>
      <c r="I6" s="13"/>
      <c r="J6" s="13"/>
      <c r="K6" s="18"/>
      <c r="M6" s="25" t="str">
        <v>ENTRENAMIENTO</v>
      </c>
      <c r="N6" t="str">
        <v>MAT. OFICINA</v>
      </c>
    </row>
    <row r="7" spans="1:14" ht="31.5" thickBot="1" x14ac:dyDescent="0.4">
      <c r="A7" s="29" t="s">
        <v>14</v>
      </c>
      <c r="B7" s="19" t="s">
        <v>4</v>
      </c>
      <c r="C7" s="20" t="s">
        <v>7</v>
      </c>
      <c r="D7" s="20" t="s">
        <v>6</v>
      </c>
      <c r="E7" s="20" t="s">
        <v>8</v>
      </c>
      <c r="F7" s="19" t="s">
        <v>5</v>
      </c>
      <c r="G7" s="21" t="s">
        <v>9</v>
      </c>
      <c r="H7" s="21" t="s">
        <v>10</v>
      </c>
      <c r="I7" s="21" t="s">
        <v>11</v>
      </c>
      <c r="J7" s="22" t="s">
        <v>12</v>
      </c>
      <c r="K7" s="23" t="s">
        <v>13</v>
      </c>
      <c r="M7" s="25" t="str">
        <v>FINANZAS</v>
      </c>
      <c r="N7" t="str">
        <v>UNIFORMES</v>
      </c>
    </row>
    <row r="8" spans="1:14" x14ac:dyDescent="0.35">
      <c r="A8" s="28"/>
      <c r="M8" s="25" t="str">
        <v>GESTION HUMANA</v>
      </c>
    </row>
    <row r="9" spans="1:14" x14ac:dyDescent="0.35">
      <c r="A9" s="28"/>
      <c r="M9" s="25" t="str">
        <v>GYA</v>
      </c>
    </row>
    <row r="10" spans="1:14" x14ac:dyDescent="0.35">
      <c r="A10" s="28"/>
      <c r="M10" s="25" t="str">
        <v>INVENTARIO</v>
      </c>
    </row>
    <row r="11" spans="1:14" x14ac:dyDescent="0.35">
      <c r="A11" s="28"/>
      <c r="M11" s="25" t="str">
        <v>LOGISTICA</v>
      </c>
    </row>
    <row r="12" spans="1:14" x14ac:dyDescent="0.35">
      <c r="A12" s="28"/>
      <c r="M12" s="25" t="str">
        <v>MANTENIMIENTO</v>
      </c>
    </row>
    <row r="13" spans="1:14" x14ac:dyDescent="0.35">
      <c r="A13" s="28"/>
      <c r="M13" s="25" t="str">
        <v>MERCADEO</v>
      </c>
    </row>
    <row r="14" spans="1:14" x14ac:dyDescent="0.35">
      <c r="A14" s="28"/>
      <c r="M14" s="25" t="str">
        <v>OPERACIONES</v>
      </c>
    </row>
    <row r="15" spans="1:14" x14ac:dyDescent="0.35">
      <c r="A15" s="28"/>
      <c r="M15" s="25" t="str">
        <v>PRODUCCION</v>
      </c>
    </row>
    <row r="16" spans="1:14" x14ac:dyDescent="0.35">
      <c r="A16" s="28"/>
      <c r="M16" s="25" t="str">
        <v>TECNOLOGIA</v>
      </c>
    </row>
    <row r="17" spans="1:13" x14ac:dyDescent="0.35">
      <c r="A17" s="28"/>
      <c r="M17" t="str">
        <v>TIENDAS</v>
      </c>
    </row>
    <row r="18" spans="1:13" x14ac:dyDescent="0.35">
      <c r="A18" s="28"/>
    </row>
    <row r="19" spans="1:13" x14ac:dyDescent="0.35">
      <c r="A19" s="28"/>
    </row>
    <row r="20" spans="1:13" x14ac:dyDescent="0.35">
      <c r="A20" s="28"/>
    </row>
    <row r="21" spans="1:13" x14ac:dyDescent="0.35">
      <c r="A21" s="28"/>
    </row>
    <row r="22" spans="1:13" x14ac:dyDescent="0.35">
      <c r="A22" s="28"/>
    </row>
    <row r="23" spans="1:13" x14ac:dyDescent="0.35">
      <c r="A23" s="28"/>
    </row>
    <row r="24" spans="1:13" x14ac:dyDescent="0.35">
      <c r="A24" s="28"/>
    </row>
    <row r="25" spans="1:13" x14ac:dyDescent="0.35">
      <c r="A25" s="28"/>
    </row>
    <row r="26" spans="1:13" x14ac:dyDescent="0.35">
      <c r="A26" s="28"/>
    </row>
    <row r="27" spans="1:13" x14ac:dyDescent="0.35">
      <c r="A27" s="28"/>
    </row>
    <row r="28" spans="1:13" x14ac:dyDescent="0.35">
      <c r="A28" s="28"/>
    </row>
    <row r="29" spans="1:13" x14ac:dyDescent="0.35">
      <c r="A29" s="28"/>
    </row>
    <row r="30" spans="1:13" x14ac:dyDescent="0.35">
      <c r="A30" s="28"/>
    </row>
    <row r="31" spans="1:13" x14ac:dyDescent="0.35">
      <c r="A31" s="28"/>
    </row>
    <row r="32" spans="1:13" x14ac:dyDescent="0.35">
      <c r="A32" s="28"/>
    </row>
    <row r="33" spans="1:1" x14ac:dyDescent="0.35">
      <c r="A33" s="28"/>
    </row>
    <row r="34" spans="1:1" x14ac:dyDescent="0.35">
      <c r="A34" s="28"/>
    </row>
    <row r="35" spans="1:1" x14ac:dyDescent="0.35">
      <c r="A35" s="28"/>
    </row>
    <row r="36" spans="1:1" x14ac:dyDescent="0.35">
      <c r="A36" s="28"/>
    </row>
    <row r="37" spans="1:1" x14ac:dyDescent="0.35">
      <c r="A37" s="28"/>
    </row>
    <row r="38" spans="1:1" x14ac:dyDescent="0.35">
      <c r="A38" s="28"/>
    </row>
    <row r="39" spans="1:1" x14ac:dyDescent="0.35">
      <c r="A39" s="28"/>
    </row>
    <row r="40" spans="1:1" x14ac:dyDescent="0.35">
      <c r="A40" s="28"/>
    </row>
    <row r="41" spans="1:1" x14ac:dyDescent="0.35">
      <c r="A41" s="28"/>
    </row>
    <row r="42" spans="1:1" x14ac:dyDescent="0.35">
      <c r="A42" s="28"/>
    </row>
    <row r="43" spans="1:1" x14ac:dyDescent="0.35">
      <c r="A43" s="28"/>
    </row>
    <row r="44" spans="1:1" x14ac:dyDescent="0.35">
      <c r="A44" s="28"/>
    </row>
    <row r="45" spans="1:1" x14ac:dyDescent="0.35">
      <c r="A45" s="28"/>
    </row>
    <row r="46" spans="1:1" x14ac:dyDescent="0.35">
      <c r="A46" s="28"/>
    </row>
    <row r="47" spans="1:1" x14ac:dyDescent="0.35">
      <c r="A47" s="28"/>
    </row>
    <row r="48" spans="1:1" x14ac:dyDescent="0.35">
      <c r="A48" s="28"/>
    </row>
    <row r="49" spans="1:1" x14ac:dyDescent="0.35">
      <c r="A49" s="28"/>
    </row>
    <row r="50" spans="1:1" x14ac:dyDescent="0.35">
      <c r="A50" s="28"/>
    </row>
    <row r="51" spans="1:1" x14ac:dyDescent="0.35">
      <c r="A51" s="28"/>
    </row>
    <row r="52" spans="1:1" x14ac:dyDescent="0.35">
      <c r="A52" s="28"/>
    </row>
    <row r="53" spans="1:1" x14ac:dyDescent="0.35">
      <c r="A53" s="28"/>
    </row>
    <row r="54" spans="1:1" x14ac:dyDescent="0.35">
      <c r="A54" s="28"/>
    </row>
    <row r="55" spans="1:1" x14ac:dyDescent="0.35">
      <c r="A55" s="28"/>
    </row>
    <row r="56" spans="1:1" x14ac:dyDescent="0.35">
      <c r="A56" s="28"/>
    </row>
    <row r="57" spans="1:1" x14ac:dyDescent="0.35">
      <c r="A57" s="28"/>
    </row>
    <row r="58" spans="1:1" x14ac:dyDescent="0.35">
      <c r="A58" s="28"/>
    </row>
    <row r="59" spans="1:1" x14ac:dyDescent="0.35">
      <c r="A59" s="28"/>
    </row>
    <row r="60" spans="1:1" x14ac:dyDescent="0.35">
      <c r="A60" s="28"/>
    </row>
    <row r="61" spans="1:1" x14ac:dyDescent="0.35">
      <c r="A61" s="28"/>
    </row>
    <row r="62" spans="1:1" x14ac:dyDescent="0.35">
      <c r="A62" s="28"/>
    </row>
    <row r="63" spans="1:1" x14ac:dyDescent="0.35">
      <c r="A63" s="28"/>
    </row>
    <row r="64" spans="1:1" x14ac:dyDescent="0.35">
      <c r="A64" s="28"/>
    </row>
    <row r="65" spans="1:1" x14ac:dyDescent="0.35">
      <c r="A65" s="28"/>
    </row>
    <row r="66" spans="1:1" x14ac:dyDescent="0.35">
      <c r="A66" s="28"/>
    </row>
    <row r="67" spans="1:1" x14ac:dyDescent="0.35">
      <c r="A67" s="28"/>
    </row>
    <row r="68" spans="1:1" x14ac:dyDescent="0.35">
      <c r="A68" s="28"/>
    </row>
    <row r="69" spans="1:1" x14ac:dyDescent="0.35">
      <c r="A69" s="28"/>
    </row>
    <row r="70" spans="1:1" x14ac:dyDescent="0.35">
      <c r="A70" s="28"/>
    </row>
    <row r="71" spans="1:1" x14ac:dyDescent="0.35">
      <c r="A71" s="28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  <row r="105" spans="1:1" x14ac:dyDescent="0.35">
      <c r="A105" s="28"/>
    </row>
    <row r="106" spans="1:1" x14ac:dyDescent="0.35">
      <c r="A106" s="28"/>
    </row>
    <row r="107" spans="1:1" x14ac:dyDescent="0.35">
      <c r="A107" s="28"/>
    </row>
    <row r="108" spans="1:1" x14ac:dyDescent="0.35">
      <c r="A108" s="28"/>
    </row>
    <row r="109" spans="1:1" x14ac:dyDescent="0.35">
      <c r="A109" s="28"/>
    </row>
    <row r="110" spans="1:1" x14ac:dyDescent="0.35">
      <c r="A110" s="28"/>
    </row>
    <row r="111" spans="1:1" x14ac:dyDescent="0.35">
      <c r="A111" s="28"/>
    </row>
    <row r="112" spans="1:1" x14ac:dyDescent="0.35">
      <c r="A112" s="28"/>
    </row>
    <row r="113" spans="1:1" x14ac:dyDescent="0.35">
      <c r="A113" s="28"/>
    </row>
    <row r="114" spans="1:1" x14ac:dyDescent="0.35">
      <c r="A114" s="28"/>
    </row>
    <row r="115" spans="1:1" x14ac:dyDescent="0.35">
      <c r="A115" s="28"/>
    </row>
    <row r="116" spans="1:1" x14ac:dyDescent="0.35">
      <c r="A116" s="28"/>
    </row>
    <row r="117" spans="1:1" x14ac:dyDescent="0.35">
      <c r="A117" s="28"/>
    </row>
    <row r="118" spans="1:1" x14ac:dyDescent="0.35">
      <c r="A118" s="28"/>
    </row>
    <row r="119" spans="1:1" x14ac:dyDescent="0.35">
      <c r="A119" s="28"/>
    </row>
    <row r="120" spans="1:1" x14ac:dyDescent="0.35">
      <c r="A120" s="28"/>
    </row>
    <row r="121" spans="1:1" x14ac:dyDescent="0.35">
      <c r="A121" s="28"/>
    </row>
    <row r="122" spans="1:1" x14ac:dyDescent="0.35">
      <c r="A122" s="28"/>
    </row>
    <row r="123" spans="1:1" x14ac:dyDescent="0.35">
      <c r="A123" s="28"/>
    </row>
    <row r="124" spans="1:1" x14ac:dyDescent="0.35">
      <c r="A124" s="28"/>
    </row>
    <row r="125" spans="1:1" x14ac:dyDescent="0.35">
      <c r="A125" s="28"/>
    </row>
    <row r="126" spans="1:1" x14ac:dyDescent="0.35">
      <c r="A126" s="28"/>
    </row>
    <row r="127" spans="1:1" x14ac:dyDescent="0.35">
      <c r="A127" s="28"/>
    </row>
    <row r="128" spans="1:1" x14ac:dyDescent="0.35">
      <c r="A128" s="28"/>
    </row>
    <row r="129" spans="1:1" x14ac:dyDescent="0.35">
      <c r="A129" s="28"/>
    </row>
    <row r="130" spans="1:1" x14ac:dyDescent="0.35">
      <c r="A130" s="28"/>
    </row>
    <row r="131" spans="1:1" x14ac:dyDescent="0.35">
      <c r="A131" s="28"/>
    </row>
    <row r="132" spans="1:1" x14ac:dyDescent="0.35">
      <c r="A132" s="28"/>
    </row>
    <row r="133" spans="1:1" x14ac:dyDescent="0.35">
      <c r="A133" s="28"/>
    </row>
    <row r="134" spans="1:1" x14ac:dyDescent="0.35">
      <c r="A134" s="28"/>
    </row>
    <row r="135" spans="1:1" x14ac:dyDescent="0.35">
      <c r="A135" s="28"/>
    </row>
    <row r="136" spans="1:1" x14ac:dyDescent="0.35">
      <c r="A136" s="28"/>
    </row>
    <row r="137" spans="1:1" x14ac:dyDescent="0.35">
      <c r="A137" s="28"/>
    </row>
    <row r="138" spans="1:1" x14ac:dyDescent="0.35">
      <c r="A138" s="28"/>
    </row>
    <row r="139" spans="1:1" x14ac:dyDescent="0.35">
      <c r="A139" s="28"/>
    </row>
    <row r="140" spans="1:1" x14ac:dyDescent="0.35">
      <c r="A140" s="28"/>
    </row>
    <row r="141" spans="1:1" x14ac:dyDescent="0.35">
      <c r="A141" s="28"/>
    </row>
    <row r="142" spans="1:1" x14ac:dyDescent="0.35">
      <c r="A142" s="28"/>
    </row>
    <row r="143" spans="1:1" x14ac:dyDescent="0.35">
      <c r="A143" s="28"/>
    </row>
    <row r="144" spans="1:1" x14ac:dyDescent="0.35">
      <c r="A144" s="28"/>
    </row>
    <row r="145" spans="1:1" x14ac:dyDescent="0.35">
      <c r="A145" s="28"/>
    </row>
    <row r="146" spans="1:1" x14ac:dyDescent="0.35">
      <c r="A146" s="28"/>
    </row>
    <row r="147" spans="1:1" x14ac:dyDescent="0.35">
      <c r="A147" s="28"/>
    </row>
    <row r="148" spans="1:1" x14ac:dyDescent="0.35">
      <c r="A148" s="28"/>
    </row>
    <row r="149" spans="1:1" x14ac:dyDescent="0.35">
      <c r="A149" s="28"/>
    </row>
    <row r="150" spans="1:1" x14ac:dyDescent="0.35">
      <c r="A150" s="28"/>
    </row>
    <row r="151" spans="1:1" x14ac:dyDescent="0.35">
      <c r="A151" s="28"/>
    </row>
    <row r="152" spans="1:1" x14ac:dyDescent="0.35">
      <c r="A152" s="28"/>
    </row>
    <row r="153" spans="1:1" x14ac:dyDescent="0.35">
      <c r="A153" s="28"/>
    </row>
    <row r="154" spans="1:1" x14ac:dyDescent="0.35">
      <c r="A154" s="28"/>
    </row>
    <row r="155" spans="1:1" x14ac:dyDescent="0.35">
      <c r="A155" s="28"/>
    </row>
  </sheetData>
  <dataConsolidate/>
  <mergeCells count="2">
    <mergeCell ref="B1:H4"/>
    <mergeCell ref="M1:N1"/>
  </mergeCells>
  <conditionalFormatting sqref="M2:M16">
    <cfRule type="duplicateValues" dxfId="1" priority="1"/>
  </conditionalFormatting>
  <dataValidations count="3">
    <dataValidation type="list" allowBlank="1" showInputMessage="1" showErrorMessage="1" sqref="J5" xr:uid="{40F0AB7B-24FC-4640-93A6-9855E5B15FC7}">
      <formula1>AJUSTE</formula1>
    </dataValidation>
    <dataValidation type="list" allowBlank="1" showInputMessage="1" showErrorMessage="1" sqref="K2" xr:uid="{8E195AF3-6A6B-4137-A820-52D5865F7460}">
      <formula1>$M$3:$M$17</formula1>
    </dataValidation>
    <dataValidation type="list" allowBlank="1" showInputMessage="1" showErrorMessage="1" errorTitle="Debe seleccionar el motivo" sqref="K3" xr:uid="{E3778AF9-D1B5-4E06-87EC-19972F8E518E}">
      <formula1>_xlfn.ANCHORARRAY($N$3)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E482-37FE-4249-BB58-28BDCC037F84}">
  <sheetPr>
    <tabColor rgb="FF00B050"/>
  </sheetPr>
  <dimension ref="A1:G44"/>
  <sheetViews>
    <sheetView tabSelected="1" topLeftCell="A37" workbookViewId="0">
      <selection activeCell="D45" sqref="D45"/>
    </sheetView>
  </sheetViews>
  <sheetFormatPr defaultRowHeight="14.5" x14ac:dyDescent="0.35"/>
  <cols>
    <col min="1" max="1" width="19.26953125" customWidth="1"/>
    <col min="2" max="2" width="22.1796875" bestFit="1" customWidth="1"/>
    <col min="3" max="3" width="22.90625" bestFit="1" customWidth="1"/>
    <col min="4" max="4" width="11.1796875" customWidth="1"/>
    <col min="7" max="7" width="16.6328125" bestFit="1" customWidth="1"/>
  </cols>
  <sheetData>
    <row r="1" spans="1:7" x14ac:dyDescent="0.35">
      <c r="A1" s="24" t="s">
        <v>20</v>
      </c>
      <c r="B1" s="24" t="s">
        <v>16</v>
      </c>
      <c r="C1" s="24" t="s">
        <v>21</v>
      </c>
      <c r="D1" s="24" t="s">
        <v>22</v>
      </c>
      <c r="G1" s="24"/>
    </row>
    <row r="2" spans="1:7" x14ac:dyDescent="0.35">
      <c r="A2" s="25" t="s">
        <v>23</v>
      </c>
      <c r="B2" s="25" t="s">
        <v>25</v>
      </c>
      <c r="C2" s="25" t="s">
        <v>24</v>
      </c>
      <c r="D2" s="25" t="s">
        <v>26</v>
      </c>
      <c r="G2" s="24"/>
    </row>
    <row r="3" spans="1:7" x14ac:dyDescent="0.35">
      <c r="A3" s="25" t="s">
        <v>23</v>
      </c>
      <c r="B3" s="25" t="s">
        <v>27</v>
      </c>
      <c r="C3" s="25" t="s">
        <v>24</v>
      </c>
      <c r="D3" s="25" t="s">
        <v>28</v>
      </c>
      <c r="G3" s="25"/>
    </row>
    <row r="4" spans="1:7" x14ac:dyDescent="0.35">
      <c r="A4" s="25" t="s">
        <v>23</v>
      </c>
      <c r="B4" s="25" t="s">
        <v>29</v>
      </c>
      <c r="C4" s="25" t="s">
        <v>24</v>
      </c>
      <c r="D4" s="25" t="s">
        <v>30</v>
      </c>
      <c r="G4" s="25"/>
    </row>
    <row r="5" spans="1:7" x14ac:dyDescent="0.35">
      <c r="A5" s="25" t="s">
        <v>23</v>
      </c>
      <c r="B5" s="25" t="s">
        <v>31</v>
      </c>
      <c r="C5" s="25" t="s">
        <v>24</v>
      </c>
      <c r="D5" s="25" t="s">
        <v>32</v>
      </c>
      <c r="G5" s="25"/>
    </row>
    <row r="6" spans="1:7" x14ac:dyDescent="0.35">
      <c r="A6" s="25" t="s">
        <v>23</v>
      </c>
      <c r="B6" s="25" t="s">
        <v>25</v>
      </c>
      <c r="C6" s="25" t="s">
        <v>33</v>
      </c>
      <c r="D6" s="25" t="s">
        <v>34</v>
      </c>
      <c r="G6" s="25"/>
    </row>
    <row r="7" spans="1:7" x14ac:dyDescent="0.35">
      <c r="A7" s="25" t="s">
        <v>23</v>
      </c>
      <c r="B7" s="25" t="s">
        <v>27</v>
      </c>
      <c r="C7" s="25" t="s">
        <v>33</v>
      </c>
      <c r="D7" s="25" t="s">
        <v>35</v>
      </c>
      <c r="G7" s="25"/>
    </row>
    <row r="8" spans="1:7" x14ac:dyDescent="0.35">
      <c r="A8" s="25" t="s">
        <v>23</v>
      </c>
      <c r="B8" s="25" t="s">
        <v>19</v>
      </c>
      <c r="C8" s="25" t="s">
        <v>33</v>
      </c>
      <c r="D8" s="25" t="s">
        <v>36</v>
      </c>
      <c r="G8" s="25"/>
    </row>
    <row r="9" spans="1:7" x14ac:dyDescent="0.35">
      <c r="A9" s="25" t="s">
        <v>23</v>
      </c>
      <c r="B9" s="25" t="s">
        <v>37</v>
      </c>
      <c r="C9" s="25" t="s">
        <v>33</v>
      </c>
      <c r="D9" s="25" t="s">
        <v>38</v>
      </c>
      <c r="G9" s="25"/>
    </row>
    <row r="10" spans="1:7" x14ac:dyDescent="0.35">
      <c r="A10" s="25" t="s">
        <v>23</v>
      </c>
      <c r="B10" s="25" t="s">
        <v>29</v>
      </c>
      <c r="C10" s="25" t="s">
        <v>33</v>
      </c>
      <c r="D10" s="25" t="s">
        <v>39</v>
      </c>
      <c r="G10" s="25"/>
    </row>
    <row r="11" spans="1:7" x14ac:dyDescent="0.35">
      <c r="A11" s="25" t="s">
        <v>23</v>
      </c>
      <c r="B11" s="25" t="s">
        <v>40</v>
      </c>
      <c r="C11" s="25" t="s">
        <v>33</v>
      </c>
      <c r="D11" s="25" t="s">
        <v>41</v>
      </c>
      <c r="G11" s="25"/>
    </row>
    <row r="12" spans="1:7" x14ac:dyDescent="0.35">
      <c r="A12" s="25" t="s">
        <v>23</v>
      </c>
      <c r="B12" s="25" t="s">
        <v>42</v>
      </c>
      <c r="C12" s="25" t="s">
        <v>33</v>
      </c>
      <c r="D12" s="25" t="s">
        <v>43</v>
      </c>
      <c r="G12" s="25"/>
    </row>
    <row r="13" spans="1:7" x14ac:dyDescent="0.35">
      <c r="A13" s="25" t="s">
        <v>23</v>
      </c>
      <c r="B13" s="25" t="s">
        <v>25</v>
      </c>
      <c r="C13" s="25" t="s">
        <v>44</v>
      </c>
      <c r="D13" s="25" t="s">
        <v>45</v>
      </c>
      <c r="G13" s="25"/>
    </row>
    <row r="14" spans="1:7" x14ac:dyDescent="0.35">
      <c r="A14" s="25" t="s">
        <v>23</v>
      </c>
      <c r="B14" s="25" t="s">
        <v>27</v>
      </c>
      <c r="C14" s="25" t="s">
        <v>44</v>
      </c>
      <c r="D14" s="25" t="s">
        <v>46</v>
      </c>
      <c r="G14" s="25"/>
    </row>
    <row r="15" spans="1:7" x14ac:dyDescent="0.35">
      <c r="A15" s="25" t="s">
        <v>23</v>
      </c>
      <c r="B15" s="25" t="s">
        <v>19</v>
      </c>
      <c r="C15" s="25" t="s">
        <v>44</v>
      </c>
      <c r="D15" s="25" t="s">
        <v>47</v>
      </c>
      <c r="G15" s="25"/>
    </row>
    <row r="16" spans="1:7" x14ac:dyDescent="0.35">
      <c r="A16" s="25" t="s">
        <v>23</v>
      </c>
      <c r="B16" s="25" t="s">
        <v>48</v>
      </c>
      <c r="C16" s="25" t="s">
        <v>44</v>
      </c>
      <c r="D16" s="25" t="s">
        <v>49</v>
      </c>
      <c r="G16" s="25"/>
    </row>
    <row r="17" spans="1:7" x14ac:dyDescent="0.35">
      <c r="A17" s="25" t="s">
        <v>23</v>
      </c>
      <c r="B17" s="25" t="s">
        <v>29</v>
      </c>
      <c r="C17" s="25" t="s">
        <v>44</v>
      </c>
      <c r="D17" s="25" t="s">
        <v>50</v>
      </c>
      <c r="G17" s="25"/>
    </row>
    <row r="18" spans="1:7" x14ac:dyDescent="0.35">
      <c r="A18" s="25" t="s">
        <v>23</v>
      </c>
      <c r="B18" s="25" t="s">
        <v>51</v>
      </c>
      <c r="C18" s="25" t="s">
        <v>44</v>
      </c>
      <c r="D18" s="25" t="s">
        <v>52</v>
      </c>
      <c r="G18" s="25"/>
    </row>
    <row r="19" spans="1:7" x14ac:dyDescent="0.35">
      <c r="A19" s="25" t="s">
        <v>23</v>
      </c>
      <c r="B19" s="25" t="s">
        <v>53</v>
      </c>
      <c r="C19" s="25" t="s">
        <v>44</v>
      </c>
      <c r="D19" s="25" t="s">
        <v>54</v>
      </c>
      <c r="G19" s="25"/>
    </row>
    <row r="20" spans="1:7" x14ac:dyDescent="0.35">
      <c r="A20" s="25" t="s">
        <v>23</v>
      </c>
      <c r="B20" s="25" t="s">
        <v>40</v>
      </c>
      <c r="C20" s="25" t="s">
        <v>44</v>
      </c>
      <c r="D20" s="25" t="s">
        <v>55</v>
      </c>
      <c r="G20" s="25"/>
    </row>
    <row r="21" spans="1:7" x14ac:dyDescent="0.35">
      <c r="A21" s="25" t="s">
        <v>23</v>
      </c>
      <c r="B21" s="25" t="s">
        <v>37</v>
      </c>
      <c r="C21" s="25" t="s">
        <v>44</v>
      </c>
      <c r="D21" s="25" t="s">
        <v>56</v>
      </c>
      <c r="G21" s="25"/>
    </row>
    <row r="22" spans="1:7" x14ac:dyDescent="0.35">
      <c r="A22" s="25" t="s">
        <v>23</v>
      </c>
      <c r="B22" s="25" t="s">
        <v>57</v>
      </c>
      <c r="C22" s="25" t="s">
        <v>44</v>
      </c>
      <c r="D22" s="25" t="s">
        <v>58</v>
      </c>
      <c r="G22" s="25"/>
    </row>
    <row r="23" spans="1:7" x14ac:dyDescent="0.35">
      <c r="A23" s="25" t="s">
        <v>23</v>
      </c>
      <c r="B23" s="25" t="s">
        <v>59</v>
      </c>
      <c r="C23" s="25" t="s">
        <v>44</v>
      </c>
      <c r="D23" s="25" t="s">
        <v>60</v>
      </c>
      <c r="G23" s="25"/>
    </row>
    <row r="24" spans="1:7" x14ac:dyDescent="0.35">
      <c r="A24" s="25" t="s">
        <v>23</v>
      </c>
      <c r="B24" s="25" t="s">
        <v>31</v>
      </c>
      <c r="C24" s="25" t="s">
        <v>44</v>
      </c>
      <c r="D24" s="25" t="s">
        <v>61</v>
      </c>
      <c r="G24" s="25"/>
    </row>
    <row r="25" spans="1:7" x14ac:dyDescent="0.35">
      <c r="A25" s="25" t="s">
        <v>23</v>
      </c>
      <c r="B25" s="25" t="s">
        <v>42</v>
      </c>
      <c r="C25" s="25" t="s">
        <v>44</v>
      </c>
      <c r="D25" s="25" t="s">
        <v>62</v>
      </c>
      <c r="G25" s="25"/>
    </row>
    <row r="26" spans="1:7" x14ac:dyDescent="0.35">
      <c r="A26" s="25" t="s">
        <v>23</v>
      </c>
      <c r="B26" s="25" t="s">
        <v>63</v>
      </c>
      <c r="C26" s="25" t="s">
        <v>44</v>
      </c>
      <c r="D26" s="25" t="s">
        <v>64</v>
      </c>
    </row>
    <row r="27" spans="1:7" x14ac:dyDescent="0.35">
      <c r="A27" s="25" t="s">
        <v>23</v>
      </c>
      <c r="B27" s="25" t="s">
        <v>25</v>
      </c>
      <c r="C27" s="25" t="s">
        <v>65</v>
      </c>
      <c r="D27" s="25" t="s">
        <v>66</v>
      </c>
      <c r="G27" s="25"/>
    </row>
    <row r="28" spans="1:7" x14ac:dyDescent="0.35">
      <c r="A28" s="25" t="s">
        <v>23</v>
      </c>
      <c r="B28" s="25" t="s">
        <v>42</v>
      </c>
      <c r="C28" s="25" t="s">
        <v>65</v>
      </c>
      <c r="D28" s="25" t="s">
        <v>67</v>
      </c>
      <c r="G28" s="25"/>
    </row>
    <row r="29" spans="1:7" x14ac:dyDescent="0.35">
      <c r="A29" s="25" t="s">
        <v>23</v>
      </c>
      <c r="B29" s="25" t="s">
        <v>19</v>
      </c>
      <c r="C29" s="25" t="s">
        <v>68</v>
      </c>
      <c r="D29" s="25" t="s">
        <v>69</v>
      </c>
      <c r="G29" s="25"/>
    </row>
    <row r="30" spans="1:7" x14ac:dyDescent="0.35">
      <c r="A30" s="25" t="s">
        <v>23</v>
      </c>
      <c r="B30" s="25" t="s">
        <v>37</v>
      </c>
      <c r="C30" s="25" t="s">
        <v>68</v>
      </c>
      <c r="D30" s="25" t="s">
        <v>70</v>
      </c>
      <c r="G30" s="25"/>
    </row>
    <row r="31" spans="1:7" x14ac:dyDescent="0.35">
      <c r="A31" s="25" t="s">
        <v>23</v>
      </c>
      <c r="B31" s="25" t="s">
        <v>19</v>
      </c>
      <c r="C31" s="25" t="s">
        <v>71</v>
      </c>
      <c r="D31" s="25" t="s">
        <v>72</v>
      </c>
      <c r="G31" s="25"/>
    </row>
    <row r="32" spans="1:7" x14ac:dyDescent="0.35">
      <c r="A32" s="25" t="s">
        <v>23</v>
      </c>
      <c r="B32" s="25" t="s">
        <v>37</v>
      </c>
      <c r="C32" s="25" t="s">
        <v>71</v>
      </c>
      <c r="D32" s="25" t="s">
        <v>73</v>
      </c>
    </row>
    <row r="33" spans="1:4" x14ac:dyDescent="0.35">
      <c r="A33" s="25" t="s">
        <v>23</v>
      </c>
      <c r="B33" s="25" t="s">
        <v>27</v>
      </c>
      <c r="C33" s="25" t="s">
        <v>71</v>
      </c>
      <c r="D33" s="25" t="s">
        <v>74</v>
      </c>
    </row>
    <row r="34" spans="1:4" x14ac:dyDescent="0.35">
      <c r="A34" s="25" t="s">
        <v>23</v>
      </c>
      <c r="B34" s="25" t="s">
        <v>29</v>
      </c>
      <c r="C34" s="25" t="s">
        <v>71</v>
      </c>
      <c r="D34" s="25" t="s">
        <v>75</v>
      </c>
    </row>
    <row r="35" spans="1:4" x14ac:dyDescent="0.35">
      <c r="A35" s="25" t="s">
        <v>23</v>
      </c>
      <c r="B35" s="25" t="s">
        <v>25</v>
      </c>
      <c r="C35" s="25" t="s">
        <v>71</v>
      </c>
      <c r="D35" s="25" t="s">
        <v>76</v>
      </c>
    </row>
    <row r="36" spans="1:4" x14ac:dyDescent="0.35">
      <c r="A36" s="25" t="s">
        <v>23</v>
      </c>
      <c r="B36" s="25" t="s">
        <v>51</v>
      </c>
      <c r="C36" s="25" t="s">
        <v>71</v>
      </c>
      <c r="D36" s="25" t="s">
        <v>77</v>
      </c>
    </row>
    <row r="37" spans="1:4" x14ac:dyDescent="0.35">
      <c r="A37" s="25" t="s">
        <v>23</v>
      </c>
      <c r="B37" s="25" t="s">
        <v>19</v>
      </c>
      <c r="C37" s="25" t="s">
        <v>78</v>
      </c>
      <c r="D37" s="25" t="s">
        <v>79</v>
      </c>
    </row>
    <row r="38" spans="1:4" x14ac:dyDescent="0.35">
      <c r="A38" s="25" t="s">
        <v>23</v>
      </c>
      <c r="B38" s="25" t="s">
        <v>29</v>
      </c>
      <c r="C38" s="25" t="s">
        <v>78</v>
      </c>
      <c r="D38" s="25" t="s">
        <v>80</v>
      </c>
    </row>
    <row r="39" spans="1:4" x14ac:dyDescent="0.35">
      <c r="A39" s="25" t="s">
        <v>23</v>
      </c>
      <c r="B39" s="25" t="s">
        <v>37</v>
      </c>
      <c r="C39" s="25" t="s">
        <v>78</v>
      </c>
      <c r="D39" s="25" t="s">
        <v>81</v>
      </c>
    </row>
    <row r="40" spans="1:4" x14ac:dyDescent="0.35">
      <c r="A40" s="25" t="s">
        <v>23</v>
      </c>
      <c r="B40" s="25" t="s">
        <v>63</v>
      </c>
      <c r="C40" s="25" t="s">
        <v>82</v>
      </c>
      <c r="D40" s="25" t="s">
        <v>83</v>
      </c>
    </row>
    <row r="41" spans="1:4" x14ac:dyDescent="0.35">
      <c r="A41" s="25" t="s">
        <v>17</v>
      </c>
      <c r="B41" s="25" t="s">
        <v>19</v>
      </c>
      <c r="C41" s="25" t="s">
        <v>18</v>
      </c>
      <c r="D41" s="25" t="s">
        <v>84</v>
      </c>
    </row>
    <row r="42" spans="1:4" x14ac:dyDescent="0.35">
      <c r="A42" s="25" t="s">
        <v>17</v>
      </c>
      <c r="B42" s="25" t="s">
        <v>90</v>
      </c>
      <c r="C42" s="25" t="s">
        <v>89</v>
      </c>
      <c r="D42" s="25" t="s">
        <v>88</v>
      </c>
    </row>
    <row r="43" spans="1:4" x14ac:dyDescent="0.35">
      <c r="A43" s="25" t="s">
        <v>17</v>
      </c>
      <c r="B43" s="25" t="s">
        <v>25</v>
      </c>
      <c r="C43" s="25" t="s">
        <v>92</v>
      </c>
      <c r="D43" s="25" t="s">
        <v>93</v>
      </c>
    </row>
    <row r="44" spans="1:4" x14ac:dyDescent="0.35">
      <c r="A44" s="32" t="s">
        <v>23</v>
      </c>
      <c r="B44" s="32" t="s">
        <v>25</v>
      </c>
      <c r="C44" s="32" t="s">
        <v>78</v>
      </c>
      <c r="D44" s="32" t="s">
        <v>94</v>
      </c>
    </row>
  </sheetData>
  <conditionalFormatting sqref="G27:G31 G2:G25">
    <cfRule type="duplicateValues" dxfId="0" priority="5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COD_ALMACEN</vt:lpstr>
      <vt:lpstr>MOTIVOS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Eduardo Lopez</dc:creator>
  <cp:lastModifiedBy>Freddy Soto</cp:lastModifiedBy>
  <cp:lastPrinted>2022-11-16T14:57:09Z</cp:lastPrinted>
  <dcterms:created xsi:type="dcterms:W3CDTF">2021-12-09T13:16:36Z</dcterms:created>
  <dcterms:modified xsi:type="dcterms:W3CDTF">2022-12-02T19:18:06Z</dcterms:modified>
</cp:coreProperties>
</file>